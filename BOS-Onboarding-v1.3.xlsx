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Mockup" sheetId="1" state="visible" r:id="rId1"/>
    <sheet name="Copilot" sheetId="2" state="visible" r:id="rId2"/>
    <sheet name="Instructions" sheetId="3" state="visible" r:id="rId3"/>
    <sheet name="Service Entry Form" sheetId="4" state="visible" r:id="rId4"/>
    <sheet name="Stakeholder Expectations" sheetId="5" state="visible" r:id="rId5"/>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sz val="14"/>
    </font>
    <font>
      <b val="1"/>
    </font>
    <font>
      <b val="1"/>
      <color rgb="00FFFFFF"/>
    </font>
    <font>
      <b val="1"/>
      <color rgb="00FFFFFF"/>
      <sz val="14"/>
    </font>
    <font>
      <b val="1"/>
      <sz val="11"/>
    </font>
    <font>
      <color rgb="000000FF"/>
    </font>
    <font>
      <b val="1"/>
      <sz val="10"/>
    </font>
    <font>
      <sz val="9"/>
    </font>
    <font>
      <b val="1"/>
      <sz val="9"/>
    </font>
    <font>
      <i val="1"/>
      <sz val="9"/>
    </font>
    <font>
      <b val="1"/>
      <color rgb="00FFFFFF"/>
      <sz val="12"/>
    </font>
    <font>
      <i val="1"/>
      <sz val="10"/>
    </font>
    <font>
      <b val="1"/>
      <color rgb="000000FF"/>
      <sz val="10"/>
    </font>
    <font>
      <b val="1"/>
      <color rgb="00FFFFFF"/>
      <sz val="11"/>
    </font>
    <font/>
    <font>
      <i val="1"/>
    </font>
    <font>
      <i val="1"/>
      <sz val="11"/>
    </font>
    <font>
      <b val="1"/>
      <i val="1"/>
      <color rgb="000000FF"/>
      <sz val="11"/>
    </font>
  </fonts>
  <fills count="13">
    <fill>
      <patternFill/>
    </fill>
    <fill>
      <patternFill patternType="gray125"/>
    </fill>
    <fill>
      <patternFill patternType="solid">
        <fgColor rgb="00D71E28"/>
        <bgColor rgb="00D71E28"/>
      </patternFill>
    </fill>
    <fill>
      <patternFill patternType="solid">
        <fgColor rgb="00E0E0E0"/>
        <bgColor rgb="00E0E0E0"/>
      </patternFill>
    </fill>
    <fill>
      <patternFill patternType="solid">
        <fgColor rgb="00DDEBF7"/>
        <bgColor rgb="00DDEBF7"/>
      </patternFill>
    </fill>
    <fill>
      <patternFill patternType="solid">
        <fgColor rgb="00F2F2F2"/>
        <bgColor rgb="00F2F2F2"/>
      </patternFill>
    </fill>
    <fill>
      <patternFill patternType="solid">
        <fgColor rgb="00808080"/>
        <bgColor rgb="00808080"/>
      </patternFill>
    </fill>
    <fill>
      <patternFill patternType="solid">
        <fgColor rgb="00D9D9D9"/>
        <bgColor rgb="00D9D9D9"/>
      </patternFill>
    </fill>
    <fill>
      <patternFill patternType="solid">
        <fgColor rgb="00FFFFFF"/>
        <bgColor rgb="00FFFFFF"/>
      </patternFill>
    </fill>
    <fill>
      <patternFill patternType="solid">
        <fgColor rgb="00F9F9F9"/>
        <bgColor rgb="00F9F9F9"/>
      </patternFill>
    </fill>
    <fill>
      <patternFill patternType="solid">
        <fgColor rgb="00E7E6E6"/>
        <bgColor rgb="00E7E6E6"/>
      </patternFill>
    </fill>
    <fill>
      <patternFill patternType="solid"/>
    </fill>
    <fill>
      <patternFill patternType="solid">
        <fgColor rgb="004472C4"/>
        <bgColor rgb="004472C4"/>
      </patternFill>
    </fill>
  </fills>
  <borders count="12">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4" fillId="2" borderId="0" applyAlignment="1" pivotButton="0" quotePrefix="0" xfId="0">
      <alignment horizontal="center" vertical="center"/>
    </xf>
    <xf numFmtId="0" fontId="0" fillId="0" borderId="0" applyAlignment="1" pivotButton="0" quotePrefix="0" xfId="0">
      <alignment wrapText="1"/>
    </xf>
    <xf numFmtId="0" fontId="5" fillId="0" borderId="0" pivotButton="0" quotePrefix="0" xfId="0"/>
    <xf numFmtId="0" fontId="6" fillId="0" borderId="0" pivotButton="0" quotePrefix="0" xfId="0"/>
    <xf numFmtId="0" fontId="6" fillId="0" borderId="0" applyAlignment="1" pivotButton="0" quotePrefix="0" xfId="0">
      <alignment wrapText="1"/>
    </xf>
    <xf numFmtId="0" fontId="7" fillId="3" borderId="1" applyAlignment="1" pivotButton="0" quotePrefix="0" xfId="0">
      <alignment horizontal="center" vertical="center"/>
    </xf>
    <xf numFmtId="0" fontId="0" fillId="0" borderId="4" pivotButton="0" quotePrefix="0" xfId="0"/>
    <xf numFmtId="0" fontId="8" fillId="0" borderId="1" applyAlignment="1" pivotButton="0" quotePrefix="0" xfId="0">
      <alignment vertical="top" wrapText="1"/>
    </xf>
    <xf numFmtId="0" fontId="0" fillId="0" borderId="1" pivotButton="0" quotePrefix="0" xfId="0"/>
    <xf numFmtId="0" fontId="9" fillId="0" borderId="1" applyAlignment="1" pivotButton="0" quotePrefix="0" xfId="0">
      <alignment horizontal="center" vertical="center"/>
    </xf>
    <xf numFmtId="0" fontId="10" fillId="0" borderId="0" applyAlignment="1" pivotButton="0" quotePrefix="0" xfId="0">
      <alignment wrapText="1"/>
    </xf>
    <xf numFmtId="0" fontId="9" fillId="3" borderId="0" applyAlignment="1" pivotButton="0" quotePrefix="0" xfId="0">
      <alignment vertical="center"/>
    </xf>
    <xf numFmtId="0" fontId="8" fillId="0" borderId="0" applyAlignment="1" pivotButton="0" quotePrefix="0" xfId="0">
      <alignment vertical="center"/>
    </xf>
    <xf numFmtId="0" fontId="1" fillId="0" borderId="0" applyAlignment="1" pivotButton="0" quotePrefix="0" xfId="0">
      <alignment horizontal="left" vertical="top" wrapText="1"/>
    </xf>
    <xf numFmtId="0" fontId="3" fillId="2" borderId="0" applyAlignment="1" pivotButton="0" quotePrefix="0" xfId="0">
      <alignment horizontal="left" vertical="center" wrapText="1"/>
    </xf>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horizontal="left" vertical="top" wrapText="1"/>
    </xf>
    <xf numFmtId="0" fontId="4" fillId="2" borderId="0" applyAlignment="1" pivotButton="0" quotePrefix="0" xfId="0">
      <alignment horizontal="center" vertical="center" wrapText="1"/>
    </xf>
    <xf numFmtId="0" fontId="5" fillId="5" borderId="0" applyAlignment="1" pivotButton="0" quotePrefix="0" xfId="0">
      <alignment horizontal="left" vertical="center" wrapText="1"/>
    </xf>
    <xf numFmtId="0" fontId="11" fillId="6" borderId="6" applyAlignment="1" pivotButton="0" quotePrefix="0" xfId="0">
      <alignment horizontal="center" vertical="center"/>
    </xf>
    <xf numFmtId="0" fontId="2" fillId="7" borderId="1" applyAlignment="1" pivotButton="0" quotePrefix="0" xfId="0">
      <alignment horizontal="center" vertical="center"/>
    </xf>
    <xf numFmtId="0" fontId="0" fillId="0" borderId="9" pivotButton="0" quotePrefix="0" xfId="0"/>
    <xf numFmtId="0" fontId="0" fillId="0" borderId="10" pivotButton="0" quotePrefix="0" xfId="0"/>
    <xf numFmtId="0" fontId="2" fillId="0" borderId="0" applyAlignment="1" pivotButton="0" quotePrefix="0" xfId="0">
      <alignment vertical="top"/>
    </xf>
    <xf numFmtId="0" fontId="0" fillId="8" borderId="1" applyAlignment="1" pivotButton="0" quotePrefix="0" xfId="0">
      <alignment vertical="top" wrapText="1"/>
    </xf>
    <xf numFmtId="0" fontId="0" fillId="0" borderId="0" applyAlignment="1" pivotButton="0" quotePrefix="0" xfId="0">
      <alignment vertical="top"/>
    </xf>
    <xf numFmtId="0" fontId="12" fillId="9" borderId="1" applyAlignment="1" pivotButton="0" quotePrefix="0" xfId="0">
      <alignment vertical="top" wrapText="1"/>
    </xf>
    <xf numFmtId="0" fontId="13" fillId="10" borderId="1" applyAlignment="1" pivotButton="0" quotePrefix="0" xfId="0">
      <alignment horizontal="center" vertical="center" wrapText="1"/>
    </xf>
    <xf numFmtId="0" fontId="0" fillId="0" borderId="5" pivotButton="0" quotePrefix="0" xfId="0"/>
    <xf numFmtId="0" fontId="14" fillId="6" borderId="6" applyAlignment="1" pivotButton="0" quotePrefix="0" xfId="0">
      <alignment horizontal="center" vertical="center"/>
    </xf>
    <xf numFmtId="0" fontId="12" fillId="9" borderId="1"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1" fillId="0" borderId="0" applyAlignment="1" pivotButton="0" quotePrefix="0" xfId="0">
      <alignment vertical="top" wrapText="1"/>
    </xf>
    <xf numFmtId="0" fontId="0" fillId="4" borderId="1" applyAlignment="1" pivotButton="0" quotePrefix="0" xfId="0">
      <alignment vertical="top" wrapText="1"/>
    </xf>
    <xf numFmtId="0" fontId="0" fillId="4" borderId="1" pivotButton="0" quotePrefix="0" xfId="0"/>
    <xf numFmtId="0" fontId="0" fillId="4" borderId="1" applyAlignment="1" pivotButton="0" quotePrefix="0" xfId="0">
      <alignment wrapText="1"/>
    </xf>
    <xf numFmtId="0" fontId="5" fillId="5" borderId="0" applyAlignment="1" pivotButton="0" quotePrefix="0" xfId="0">
      <alignment horizontal="left" vertical="center"/>
    </xf>
    <xf numFmtId="0" fontId="2" fillId="11" borderId="0" applyAlignment="1" pivotButton="0" quotePrefix="0" xfId="0">
      <alignment vertical="top"/>
    </xf>
    <xf numFmtId="0" fontId="12" fillId="9" borderId="0" applyAlignment="1" pivotButton="0" quotePrefix="0" xfId="0">
      <alignment vertical="top"/>
    </xf>
    <xf numFmtId="0" fontId="12" fillId="9" borderId="1" applyAlignment="1" pivotButton="0" quotePrefix="0" xfId="0">
      <alignment vertical="top"/>
    </xf>
    <xf numFmtId="0" fontId="12" fillId="9" borderId="5" applyAlignment="1" pivotButton="0" quotePrefix="0" xfId="0">
      <alignment vertical="top"/>
    </xf>
    <xf numFmtId="0" fontId="12" fillId="9" borderId="4" applyAlignment="1" pivotButton="0" quotePrefix="0" xfId="0">
      <alignment vertical="top"/>
    </xf>
    <xf numFmtId="0" fontId="2" fillId="12" borderId="0" applyAlignment="1" pivotButton="0" quotePrefix="0" xfId="0">
      <alignment vertical="top"/>
    </xf>
    <xf numFmtId="0" fontId="2" fillId="4" borderId="0" applyAlignment="1" pivotButton="0" quotePrefix="0" xfId="0">
      <alignment vertical="top"/>
    </xf>
    <xf numFmtId="0" fontId="3" fillId="6" borderId="1" applyAlignment="1" pivotButton="0" quotePrefix="0" xfId="0">
      <alignment horizontal="center" vertical="center"/>
    </xf>
    <xf numFmtId="0" fontId="2" fillId="0" borderId="11" pivotButton="0" quotePrefix="0" xfId="0"/>
    <xf numFmtId="0" fontId="15" fillId="4" borderId="1" pivotButton="0" quotePrefix="0" xfId="0"/>
    <xf numFmtId="0" fontId="15" fillId="0" borderId="11" pivotButton="0" quotePrefix="0" xfId="0"/>
    <xf numFmtId="0" fontId="16" fillId="9" borderId="1" pivotButton="0" quotePrefix="0" xfId="0"/>
    <xf numFmtId="0" fontId="15" fillId="4" borderId="1" applyAlignment="1" pivotButton="0" quotePrefix="0" xfId="0">
      <alignment wrapText="1"/>
    </xf>
    <xf numFmtId="0" fontId="2" fillId="0" borderId="1" applyAlignment="1" pivotButton="0" quotePrefix="0" xfId="0">
      <alignment vertical="top"/>
    </xf>
    <xf numFmtId="0" fontId="2" fillId="4" borderId="1" applyAlignment="1" pivotButton="0" quotePrefix="0" xfId="0">
      <alignment vertical="top"/>
    </xf>
    <xf numFmtId="0" fontId="17" fillId="9" borderId="1" applyAlignment="1" pivotButton="0" quotePrefix="0" xfId="0">
      <alignment vertical="top"/>
    </xf>
    <xf numFmtId="0" fontId="18" fillId="9"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5" customWidth="1" min="1" max="1"/>
    <col width="30" customWidth="1" min="2" max="2"/>
    <col width="30" customWidth="1" min="3" max="3"/>
    <col width="30" customWidth="1" min="4" max="4"/>
    <col width="30" customWidth="1" min="5" max="5"/>
    <col width="15" customWidth="1" min="6" max="6"/>
  </cols>
  <sheetData>
    <row r="1" ht="25" customHeight="1">
      <c r="A1" s="5" t="inlineStr">
        <is>
          <t>DASHBOARD PREVIEW: How Your Data Appears</t>
        </is>
      </c>
    </row>
    <row r="2" ht="30" customHeight="1">
      <c r="A2" s="6" t="inlineStr">
        <is>
          <t>This shows how your XLSX data flows into the BOS dashboard. The data you enter in 'Service Metadata' and 'Business Context' tabs creates this contextual information.</t>
        </is>
      </c>
    </row>
    <row r="4">
      <c r="A4" s="7" t="inlineStr">
        <is>
          <t>SERVICE INFORMATION (from Service Metadata tab)</t>
        </is>
      </c>
    </row>
    <row r="5">
      <c r="A5" s="2" t="inlineStr">
        <is>
          <t>Service Name:</t>
        </is>
      </c>
      <c r="B5" s="8">
        <f>IFERROR('Service Entry Form'!B7,"[Your service name will appear here]")</f>
        <v/>
      </c>
    </row>
    <row r="6" ht="30" customHeight="1">
      <c r="A6" s="2" t="inlineStr">
        <is>
          <t>Business Purpose:</t>
        </is>
      </c>
      <c r="B6" s="9">
        <f>IFERROR('Service Entry Form'!B9,"[Your business purpose will appear here]")</f>
        <v/>
      </c>
    </row>
    <row r="7">
      <c r="A7" s="2" t="inlineStr">
        <is>
          <t>L4 Product Line:</t>
        </is>
      </c>
      <c r="B7" s="8">
        <f>IFERROR('Service Entry Form'!B11,"[L4 Product Line]")</f>
        <v/>
      </c>
    </row>
    <row r="8">
      <c r="A8" s="2" t="inlineStr">
        <is>
          <t>L3 Product:</t>
        </is>
      </c>
      <c r="B8" s="8">
        <f>IFERROR('Service Entry Form'!B13,"[L3 Product]")</f>
        <v/>
      </c>
    </row>
    <row r="9">
      <c r="A9" s="2" t="inlineStr">
        <is>
          <t>CMDB Application ID:</t>
        </is>
      </c>
      <c r="B9" s="8">
        <f>IFERROR('Service Entry Form'!B17,"[Not provided]")</f>
        <v/>
      </c>
    </row>
    <row r="11">
      <c r="A11" s="7" t="inlineStr">
        <is>
          <t>STAKEHOLDER EXPECTATIONS &amp; IMPACTS (from Business Context tab)</t>
        </is>
      </c>
    </row>
    <row r="12">
      <c r="A12" s="10" t="inlineStr">
        <is>
          <t>STAKEHOLDER</t>
        </is>
      </c>
      <c r="B12" s="10" t="inlineStr">
        <is>
          <t>EXPECTATION</t>
        </is>
      </c>
      <c r="C12" s="11" t="n"/>
      <c r="D12" s="10" t="inlineStr">
        <is>
          <t>IMPACT IF BROKEN</t>
        </is>
      </c>
      <c r="E12" s="11" t="n"/>
      <c r="F12" s="10" t="inlineStr">
        <is>
          <t>PRIORITY</t>
        </is>
      </c>
    </row>
    <row r="13" ht="45" customHeight="1">
      <c r="A13" s="12">
        <f>IFERROR('Stakeholder Expectations'!B6,"")</f>
        <v/>
      </c>
      <c r="B13" s="12">
        <f>IFERROR('Stakeholder Expectations'!B8,"")</f>
        <v/>
      </c>
      <c r="C13" s="11" t="n"/>
      <c r="D13" s="12">
        <f>IFERROR('Stakeholder Expectations'!B12&amp;": "&amp;'Stakeholder Expectations'!B10,"")</f>
        <v/>
      </c>
      <c r="E13" s="11" t="n"/>
      <c r="F13" s="14">
        <f>IFERROR('Stakeholder Expectations'!B13,"")</f>
        <v/>
      </c>
    </row>
    <row r="14" ht="45" customHeight="1">
      <c r="A14" s="12">
        <f>IFERROR('Stakeholder Expectations'!B16,"")</f>
        <v/>
      </c>
      <c r="B14" s="12">
        <f>IFERROR('Stakeholder Expectations'!B18,"")</f>
        <v/>
      </c>
      <c r="C14" s="11" t="n"/>
      <c r="D14" s="12">
        <f>IFERROR('Stakeholder Expectations'!B22&amp;": "&amp;'Stakeholder Expectations'!B20,"")</f>
        <v/>
      </c>
      <c r="E14" s="11" t="n"/>
      <c r="F14" s="14">
        <f>IFERROR('Stakeholder Expectations'!B23,"")</f>
        <v/>
      </c>
    </row>
    <row r="15" ht="45" customHeight="1">
      <c r="A15" s="12">
        <f>IFERROR('Stakeholder Expectations'!B26,"")</f>
        <v/>
      </c>
      <c r="B15" s="12">
        <f>IFERROR('Stakeholder Expectations'!B28,"")</f>
        <v/>
      </c>
      <c r="C15" s="11" t="n"/>
      <c r="D15" s="12">
        <f>IFERROR('Stakeholder Expectations'!B32&amp;": "&amp;'Stakeholder Expectations'!B30,"")</f>
        <v/>
      </c>
      <c r="E15" s="11" t="n"/>
      <c r="F15" s="14">
        <f>IFERROR('Stakeholder Expectations'!B33,"")</f>
        <v/>
      </c>
    </row>
    <row r="16" ht="45" customHeight="1">
      <c r="A16" s="12">
        <f>IFERROR('Stakeholder Expectations'!B36,"")</f>
        <v/>
      </c>
      <c r="B16" s="12">
        <f>IFERROR('Stakeholder Expectations'!B38,"")</f>
        <v/>
      </c>
      <c r="C16" s="11" t="n"/>
      <c r="D16" s="12">
        <f>IFERROR('Stakeholder Expectations'!B42&amp;": "&amp;'Stakeholder Expectations'!B40,"")</f>
        <v/>
      </c>
      <c r="E16" s="11" t="n"/>
      <c r="F16" s="14">
        <f>IFERROR('Stakeholder Expectations'!B43,"")</f>
        <v/>
      </c>
    </row>
    <row r="18" ht="30" customHeight="1">
      <c r="A18" s="15" t="inlineStr">
        <is>
          <t>Note: This preview updates automatically when you edit the Service Metadata and Business Context tabs. Try changing values to see the dashboard preview update!</t>
        </is>
      </c>
    </row>
    <row r="20">
      <c r="A20" s="7" t="inlineStr">
        <is>
          <t>DATA FLOW MAPPING</t>
        </is>
      </c>
    </row>
    <row r="21">
      <c r="A21" s="16" t="inlineStr">
        <is>
          <t>XLSX Tab</t>
        </is>
      </c>
      <c r="B21" s="16" t="inlineStr">
        <is>
          <t>XLSX Field</t>
        </is>
      </c>
      <c r="C21" s="16" t="inlineStr">
        <is>
          <t>→</t>
        </is>
      </c>
      <c r="D21" s="16" t="inlineStr">
        <is>
          <t>Dashboard Display</t>
        </is>
      </c>
    </row>
    <row r="22">
      <c r="A22" s="17" t="inlineStr">
        <is>
          <t>Service Metadata</t>
        </is>
      </c>
      <c r="B22" s="17" t="inlineStr">
        <is>
          <t>Service Name</t>
        </is>
      </c>
      <c r="C22" s="17" t="inlineStr">
        <is>
          <t>→</t>
        </is>
      </c>
      <c r="D22" s="17" t="inlineStr">
        <is>
          <t>Service Name: [value]</t>
        </is>
      </c>
    </row>
    <row r="23">
      <c r="A23" s="17" t="inlineStr">
        <is>
          <t>Service Metadata</t>
        </is>
      </c>
      <c r="B23" s="17" t="inlineStr">
        <is>
          <t>Business Purpose</t>
        </is>
      </c>
      <c r="C23" s="17" t="inlineStr">
        <is>
          <t>→</t>
        </is>
      </c>
      <c r="D23" s="17" t="inlineStr">
        <is>
          <t>Business Purpose: [value]</t>
        </is>
      </c>
    </row>
    <row r="24">
      <c r="A24" s="17" t="inlineStr">
        <is>
          <t>Service Metadata</t>
        </is>
      </c>
      <c r="B24" s="17" t="inlineStr">
        <is>
          <t>L4 Product Line</t>
        </is>
      </c>
      <c r="C24" s="17" t="inlineStr">
        <is>
          <t>→</t>
        </is>
      </c>
      <c r="D24" s="17" t="inlineStr">
        <is>
          <t>L4 Product Line: [value]</t>
        </is>
      </c>
    </row>
    <row r="25">
      <c r="A25" s="17" t="inlineStr">
        <is>
          <t>Service Metadata</t>
        </is>
      </c>
      <c r="B25" s="17" t="inlineStr">
        <is>
          <t>L3 Product</t>
        </is>
      </c>
      <c r="C25" s="17" t="inlineStr">
        <is>
          <t>→</t>
        </is>
      </c>
      <c r="D25" s="17" t="inlineStr">
        <is>
          <t>L3 Product: [value]</t>
        </is>
      </c>
    </row>
    <row r="26">
      <c r="A26" s="17" t="inlineStr">
        <is>
          <t>Service Metadata</t>
        </is>
      </c>
      <c r="B26" s="17" t="inlineStr">
        <is>
          <t>CMDB Application ID</t>
        </is>
      </c>
      <c r="C26" s="17" t="inlineStr">
        <is>
          <t>→</t>
        </is>
      </c>
      <c r="D26" s="17" t="inlineStr">
        <is>
          <t>CMDB Application ID: [value]</t>
        </is>
      </c>
    </row>
    <row r="27">
      <c r="A27" s="17" t="inlineStr">
        <is>
          <t>Business Context</t>
        </is>
      </c>
      <c r="B27" s="17" t="inlineStr">
        <is>
          <t>Stakeholder</t>
        </is>
      </c>
      <c r="C27" s="17" t="inlineStr">
        <is>
          <t>→</t>
        </is>
      </c>
      <c r="D27" s="17" t="inlineStr">
        <is>
          <t>STAKEHOLDER column</t>
        </is>
      </c>
    </row>
    <row r="28">
      <c r="A28" s="17" t="inlineStr">
        <is>
          <t>Business Context</t>
        </is>
      </c>
      <c r="B28" s="17" t="inlineStr">
        <is>
          <t>Expectation Statement</t>
        </is>
      </c>
      <c r="C28" s="17" t="inlineStr">
        <is>
          <t>→</t>
        </is>
      </c>
      <c r="D28" s="17" t="inlineStr">
        <is>
          <t>EXPECTATION column</t>
        </is>
      </c>
    </row>
    <row r="29">
      <c r="A29" s="17" t="inlineStr">
        <is>
          <t>Business Context</t>
        </is>
      </c>
      <c r="B29" s="17" t="inlineStr">
        <is>
          <t>Impact Category + Impact Description</t>
        </is>
      </c>
      <c r="C29" s="17" t="inlineStr">
        <is>
          <t>→</t>
        </is>
      </c>
      <c r="D29" s="17" t="inlineStr">
        <is>
          <t>IMPACT IF BROKEN column</t>
        </is>
      </c>
    </row>
    <row r="30">
      <c r="A30" s="17" t="inlineStr">
        <is>
          <t>Business Context</t>
        </is>
      </c>
      <c r="B30" s="17" t="inlineStr">
        <is>
          <t>Priority</t>
        </is>
      </c>
      <c r="C30" s="17" t="inlineStr">
        <is>
          <t>→</t>
        </is>
      </c>
      <c r="D30" s="17" t="inlineStr">
        <is>
          <t>PRIORITY column</t>
        </is>
      </c>
    </row>
  </sheetData>
  <mergeCells count="21">
    <mergeCell ref="B16:C16"/>
    <mergeCell ref="B7:F7"/>
    <mergeCell ref="A18:F18"/>
    <mergeCell ref="B12:C12"/>
    <mergeCell ref="A2:F2"/>
    <mergeCell ref="D13:E13"/>
    <mergeCell ref="B14:C14"/>
    <mergeCell ref="A4:F4"/>
    <mergeCell ref="B8:F8"/>
    <mergeCell ref="A20:F20"/>
    <mergeCell ref="B13:C13"/>
    <mergeCell ref="D16:E16"/>
    <mergeCell ref="B9:F9"/>
    <mergeCell ref="D12:E12"/>
    <mergeCell ref="A11:F11"/>
    <mergeCell ref="B6:F6"/>
    <mergeCell ref="B15:C15"/>
    <mergeCell ref="D15:E15"/>
    <mergeCell ref="A1:F1"/>
    <mergeCell ref="B5:F5"/>
    <mergeCell ref="D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c r="A1" s="22" t="inlineStr">
        <is>
          <t xml:space="preserve">```
==========================================
COPILOT CONTEXT: BOS ONBOARDING ASSISTANT
==========================================
SECTION 1: YOUR ROLE AND BOS PRINCIPLES OVERVIEW
-------------------------------------------------
You are assisting a Product Owner in completing Business Observability System (BOS) onboarding for their service. This workbook captures Steps 1-2: Service identification and stakeholder expectations.
YOUR ROLE AS COPILOT:
• Help the user articulate business value and stakeholder needs in clear, measurable terms
• Guide them toward entries that will produce actionable dashboards and alerts
• Provide contextually appropriate suggestions based on domain knowledge (banking/lending)
• Explain WHY fields matter when asked, but stay tactical when user is working
• Connect their tactical work to the strategic BOS architecture
WHAT IS BOS?
Business observability begins with defining success in terms of business health—customer outcomes, financial impact, compliance, and operational efficiency. Technical observability (signals, instrumentation, dashboards) exists only to support that framing, ensuring every metric and indicator ties back to whether the service is delivering its business value.
BOS IS PROACTIVE AND COMPLETE:
• Proactive: Monitor whether business value IS being delivered (not just incident response)
• Complete system: 5-layer architecture from business context → enterprise aggregation
• Enterprise scale: Designed for 5000+ services with systematic methodology delivery
• Real-time operational: Answer "Can the business operate successfully TODAY?"
This workbook (Steps 1-2) captures Layer 1: Business Context - the foundation that enables everything else.
---
SECTION 2: FOUNDATIONAL DEPENDENCY CHAIN
-----------------------------------------
BOS works as a complete system with 5 dependent layers. Each layer REQUIRES the previous layer:
LAYER 1: Business Context (PO Authoritative Source) ← YOU ARE HERE
├─ Service purpose: WHY does this exist?
├─ Stakeholders: WHO cares?
├─ Expectations: WHAT do they need?
└─ Impacts: WHAT happens if broken?
    │
    └─ VALUE: Understanding what matters
    └─ ENABLES: Requirements translation (Layer 2)
         ↓
LAYER 2: Requirements Translation
├─ Frame as requirements
├─ Frame as user stories
├─ Frame as acceptance criteria
    │
    └─ VALUE: Developer guidance
    └─ ENABLES: Technical implementation (Layer 3)
         ↓
LAYER 3: Technical Implementation
├─ Signal definitions (SLI/SLO)
├─ Data collection configuration
├─ Monitoring tool integration
    │
    └─ VALUE: Operational measurement
    └─ ENABLES: Dashboard/alert generation (Layer 4)
         ↓
LAYER 4: Operational Artifacts
├─ Service-level dashboards
├─ Alerting configurations
├─ Playbook generation
    │
    └─ VALUE: Real-time visibility
    └─ ENABLES: Enterprise aggregation (Layer 5)
         ↓
LAYER 5: Enterprise Aggregation
├─ Division-level views
├─ L4 Product Line rollups
├─ L3 Product rollups
└─ Business Application groupings
    │
    └─ VALUE: Executive business health visibility
CRITICAL SCALE UNDERSTANDING:
• At 1 service: Can manually work around missing context
• At 5000 services: Missing Layer 1 = complete failure of Layers 2-5
WHY THIS MATTERS FOR PRODUCT OWNERS:
The business context you capture in this workbook (Service Metadata + Stakeholder Expectations) becomes Layer 1 for your service. Without this foundation:
• Developers cannot translate to requirements (Layer 2 blocked)
• Technical signals cannot be defined (Layer 3 blocked)
• Dashboards cannot show business value (Layer 4 blocked)
• Executives cannot see business health (Layer 5 blocked)
You are building the FOUNDATION. Everything else depends on this.
---
SECTION 3: SEMANTIC FLOW - THE COMPLETE VALUE CHAIN
---------------------------------------------------
WITHIN Layer 1 (Business Context), BOS follows this conceptual flow:
[Stakeholder] → has an → [Expectation]
...which, if broken, causes an → [Impact]
...which is detected by → [Telemetry]
...which creates an actionable → [Signal]
...which informs both a → [Playbook] and a [Dashboard]
This flow ensures every technical metric connects back to stakeholder value.
APPLIED TO THIS WORKBOOK:
• SERVICE METADATA TAB: Identifies the service and WHY it exists (business purpose)
• BUSINESS CONTEXT TAB: Captures Stakeholder → Expectation → Impact relationship
• Future work (XLSX v2): Defines Signals and connects to Telemetry
• Future deployment: Generates Dashboards and Playbooks from this foundation
THE PATTERN:
"As a [Stakeholder: Specific Group], I expect [what]. If broken: [impact]"
This pattern appears throughout BOS and on every dashboard.
---
SECTION 4: THREE-SIGNAL MODEL
------------------------------
BOS distinguishes three types of signals. Understanding this helps frame expectations correctly:
1. TRADITIONAL OBSERVABILITY (System/Process)
   • Measures: Mechanism health (availability, latency, error rates, correctness)
   • Answers: "Is it up/valid and how fast?"
   • Examples: "API uptime 99.2%", "p95 latency 250ms", "Field accuracy 99%"
   • Owners: SRE (System), Dev/QA (Process)
2. BUSINESS HEALTH/SUCCESS (BOS-specific)
   • Measures: Outcome attainment (KPI targets, stakeholder expectations met)
   • Answers: "Is the expectation met right now?"
   • Examples: "Fill rate 89% (target ≥90%)", "Verification pass rate 94% (target ≥95%)"
   • Owners: Product Owner (+ Analytics)
3. BUSINESS IMPACT (BOS-specific)
   • Measures: Consequence quantification when outcomes miss
   • Answers: "So what—how bad, for whom, where to focus?"
   • Examples: "333 customers affected", "$2,500 at risk", "55 compliance cases"
   • Owners: Product Owner + Ops/Compliance
WHY BOS NEEDS ALL THREE:
• Mechanism health ≠ outcome success (System/Process can be green while business result fails)
• Outcome misses need consequence, not just detection (Impact quantifies severity and category)
• Speed to meaning drives better operations (Business-first panels cut minutes-to-clarity)
IMPACT CATEGORIES (4 TYPES):
• Customer: Affects end-user experience or ability to achieve goals
• Financial: Revenue loss, cost increase, penalties, dollars at risk
• Legal/Risk: Compliance violations, regulatory issues, audit findings
• Operational: Internal process failures, team productivity, SLA breaches
CRITICAL: Try to document expectations across ALL 4 impact categories for complete coverage.
---
SECTION 5: SCALE AND ENTERPRISE CONTEXT
---------------------------------------
WHY METHODOLOGY MATTERS AT SCALE:
At 1 Service (Manual Workarounds Possible):
• Can skip documentation, rely on tribal knowledge
• Can manually coordinate between teams
• Can use ad-hoc monitoring approaches
• Technical team can infer business context
At 5000 Services (Systematic Approach Required):
• Cannot rely on tribal knowledge (too many services, turnover)
• Cannot manually coordinate (workflow must be repeatable)
• Cannot use ad-hoc approaches (inconsistency causes chaos)
• Technical teams cannot infer business context for 5000 services
THIS WORKBOOK IS METHODOLOGY DELIVERY INFRASTRUCTURE:
• Systematic capture of business context (not ad-hoc documentation)
• Repeatable pattern across all services (consistent terminology)
• Product Owner source authority (cannot delegate business knowledge)
• AI-assisted completion (Copilot = methodology expert at scale)
YOUR CONTEXT BECOMES PRODUCTION DATA:
• XLSX structure matches database schema exactly
• When production BOS launches, this data imports directly (no migration pain)
• Dashboards will display the expectations you write here
• This is not a planning exercise - this becomes THE operational data
---
SECTION 6: FIELD GUIDANCE - SERVICE METADATA TAB
------------------------------------------------
TAB: SERVICE METADATA (Step 1)
This tab captures Layer 1 foundation: WHY this service exists and WHO owns it.
FIELD: Service Name
• Purpose: Unique identifier used throughout BOS dashboards, alerts, and reports
• Why it matters: This name appears in executive dashboards, incident communications, and enterprise rollups
• What enables: Service identification in Layers 4-5 (dashboards, aggregation)
• Good examples: "Credit Check Service", "Treasury Order Funding Service", "Home Lending Income Verification"
• Avoid: "API Gateway" (too technical), "Database Cluster" (infrastructure, not business service)
• Test: Would a business stakeholder who doesn't know the technology recognize this name?
FIELD: Business Purpose
• Purpose: What business problem does this service solve? Why does it exist?
• Why it matters: This is foundational Layer 1 context. Without understanding WHY service exists, cannot determine appropriate signals, stakeholder expectations, or business impact
• What enables: Requirements translation (Layer 2), signal definitions (Layer 3), dashboard business narrative (Layer 4)
• Good examples:
  - "Enables home loan applicants to receive credit decisions within 30 seconds during business hours"
  - "Validates payment information accuracy for mortgage applications before appraisal scheduling"
  - "Processes daily Treasury department funding orders within regulatory cutoff windows"
• Avoid: "Processes API requests" (technical, no business value), "Microservice for data" (doesn't explain business problem)
• Pattern: "[Action verb] for [who/what stakeholder] to achieve [business outcome]"
• Test: Does this explain why the business would care if this service failed?
• Domain knowledge: Banking/lending services often enable decisioning (credit, fraud, compliance), transaction processing (payments, transfers, settlements), or regulatory reporting (compliance, audit trails)
FIELD: L4 Product Line / L3 Product
• Purpose: Organizational hierarchy for reporting, ownership, and executive aggregation
• Why it matters: Enables Layer 5 enterprise aggregation (executive dashboards show Product Line and Product rollups)
• What enables: Division-level views, L4/L3 rollups for executive business health visibility
• How to fill: **SELECT from pre-defined organizational values** (these are NOT invented - they exist in enterprise organizational structure)
• CRITICAL: These values are defined by the organization. Product Owners select their service's placement, they do not create new L4/L3 values.
• If unsure: Ask your manager or check CMDB for service's organizational placement
• Future implementation: Reference tab will contain complete list of valid L4/L3 values for selection
• Examples of L4 Product Lines: Home Lending, Auto Lending, Unsecured Lending, etc. (complete list will be in reference tab)
• L3 Products are specific capabilities within those Product Lines
FIELD: Product Owner
• Purpose: Accountable person for this service's business outcomes and BOS data quality
• Why it matters: Product Owner is authoritative source for business context (Layer 1). This person validates stakeholder expectations, impact categories, and business health signals
• What enables: Clear ownership for business context questions, stakeholder coordination, expectation validation
• How to fill: Use email address for traceability
• Domain knowledge: Product Owners in financial services typically own specific business capabilities (lending decisioning, payment processing, compliance reporting) rather than technical infrastructure
FIELD: CMDB Application ID (Optional)
• Purpose: Links to existing CMDB record for this service
• Why it matters: CMDB contains business application descriptions that can inform Business Purpose suggestions
• What enables: AI-assisted content suggestions based on CMDB metadata, traceability to enterprise configuration management
• How to fill: **SELECT from pre-defined CMDB Application IDs** (these exist in enterprise CMDB system - NOT invented)
• CRITICAL: If filling this field, use actual CMDB Application ID that exists in the enterprise system
• Optional: Can be left blank if unknown or if service not yet in CMDB
• Future implementation: Reference tab will contain valid CMDB Application IDs with descriptions
• If known: Copilot can reference CMDB description to suggest Business Purpose and stakeholder patterns based on existing CMDB metadata
---
SECTION 7: FIELD GUIDANCE - BUSINESS CONTEXT TAB
-----------------------------------------------
TAB: BUSINESS CONTEXT (Step 2)
This tab captures Semantic Flow relationships: Stakeholder → Expectation → Impact.
Each row represents one stakeholder expectation. Most services have 3-8 expectations.
FIELD: Stakeholder Type
• Purpose: High-level category of who depends on this service
• Why it matters: Connects to Semantic Flow (Stakeholder has Expectation). Enables stakeholder-focused dashboard views
• What enables: Stakeholder grouping in Layer 4 dashboards, stakeholder-specific impact tracking
• Common types: Customer, Internal Team, Partner, Regulator, Executive
• Test: Who would call/complain if this service fails?
• Domain knowledge in banking/lending:
  - Customer: Home buyers, mortgage applicants, account holders, borrowers
  - Internal Team: Loan officers, processors, underwriters, compliance analysts, operations staff
  - Partner: Mortgage brokers, title companies, appraisers, credit bureaus
  - Regulator: Federal regulators (CFPB, OCC), state banking authorities, audit teams
  - Executive: Business line leaders who own P&amp;L for this capability
FIELD: Specific Group
• Purpose: Narrow down the stakeholder type to a specific, identifiable group
• Why it matters: Precision enables targeted communication during incidents. "Who do I notify?" must have a clear answer
• What enables: Incident notification lists, stakeholder-specific dashboards, accountability for expectations
• Good examples: "Home Lending Processors", "Credit Risk Team", "Mortgage Brokers (Partner Network)", "Loan Officers (Branch Network)"
• Avoid: "Users" (too vague), "Everyone" (not specific)
• Test: Could you send an email to this group? Can you identify their manager/leader?
• Domain knowledge: Financial services groups often organized by function (processors, underwriters, analysts) or product line (home lending, consumer banking, treasury)
FIELD: Expectation Statement
• Purpose: Complete the Semantic Flow: "I expect [what]"
• Why it matters: This becomes the KPI definition (Layer 3) and dashboard business narrative (Layer 4). Must be specific and measurable.
• What enables: Signal definitions with targets (Layer 3), business health monitoring (Layer 4)
• Good examples:
  - "credit checks to complete within 30 seconds during business hours"
  - "accurate credit scores returned for all requests (99.9% accuracy)"
  - "payment validation to process before appraisal scheduling deadlines"
  - "compliance pass rate of 95% or higher for all loan applications"
• Avoid: "the service to work" (not measurable), "good performance" (undefined)
• Pattern: [specific action] + [quality/timing constraint] + [scope/conditions]
• Test: Is this measurable? Could you tell RIGHT NOW if it's being met? Can this become a signal with a target?
• Domain knowledge: Banking/lending expectations often include timing (30 seconds, end-of-day cutoff), accuracy (99%+), compliance thresholds (regulatory requirements), and availability during business hours
FIELD: Impact Description
• Purpose: Complete the Semantic Flow: "If broken: [impact]"
• Why it matters: Explains business consequence. This appears on dashboards and incident communications to answer "why should I care?"
• What enables: Business impact quantification (Layer 3), priority/escalation decisions (Layer 4), executive communication (Layer 5)
• Good examples:
  - "Loan applications are delayed, degrading customer experience and increasing risk of lost business to competitors"
  - "Risk assessments are inaccurate, creating compliance exposure and potential regulatory findings"
  - "Loan officers cannot submit applications, blocking daily pipeline progression and revenue targets"
  - "Regulatory reporting deadlines missed, triggering compliance escalation and potential penalties"
• Avoid: "Bad things happen" (too vague), "Requests fail" (missing consequence)
• Pattern: [immediate consequence] + [who is affected] + [business outcome at risk]
• Test: Does this explain WHO suffers and WHAT business outcome is threatened?
• Domain knowledge: Banking/lending impacts often cascade: customer experience → revenue loss → regulatory risk. Time-sensitive processes have hard deadlines (end-of-day, regulatory cutoffs).
FIELD: Impact Category
• Purpose: Classify the impact into one of four standard categories
• Why it matters: Enables Layer 4 dashboards to show impact across all dimensions. Drives accountability for complete coverage.
• What enables: 4-category dashboard display, executive impact visibility, prioritization frameworks
• Categories:
  - Customer: Affects end-user experience, ability to achieve goals (apply for loan, complete transaction, receive decision)
  - Financial: Revenue loss, cost increase, penalties, dollars at risk, P&amp;L impact
  - Legal/Risk: Compliance violations, regulatory exposure, audit findings, legal liability
  - Operational: Internal process failures, team productivity loss, SLA breaches, manual workaround burden
• CRITICAL: Try to document expectations across ALL 4 categories for complete coverage. Even if "Not Defined" in some categories, documenting that drives accountability.
• Test: Which business health dimension does this impact?
• Domain knowledge: Financial services commonly hit all 4 categories:
  - Customer: Application delays, decision timeliness, user experience
  - Financial: Lost origination fees, increased costs, penalty risk
  - Legal/Risk: CFPB violations, fair lending compliance, audit exposure
  - Operational: Manual processing, team productivity, escalation burden
FIELD: Priority
• Purpose: Business criticality level for this expectation
• Why it matters: Enables alert routing, escalation paths, and response prioritization
• What enables: Critical path identification, executive escalation triggers, SLA definitions
• Levels:
  - CRITICAL: Immediate business impact, executive notification required, revenue/compliance at risk
  - HIGH: Significant impact, same-day response required, stakeholder escalation likely
  - MEDIUM: Notable impact, address within normal workflow, monitor for escalation
  - LOW: Minor inconvenience, can be batched with other work, low urgency
• Test: If this breaks at 2pm on Tuesday, what's the escalation timeline?
• Domain knowledge: Financial services critical priorities often involve regulatory deadlines, customer-facing transactions during business hours, and compliance-sensitive processes
---
SECTION 8: DOMAIN KNOWLEDGE - BANKING/LENDING PATTERNS
-----------------------------------------------------
COMMON STAKEHOLDERS IN BANKING/LENDING:
Customer Stakeholders:
• Home buyers (mortgage applications)
• Borrowers (loan management)
• Account holders (banking services)
• Applicants (credit decisioning)
Internal Team Stakeholders:
• Loan Officers (origination, customer interface)
• Processors (application workflows, document validation)
• Underwriters (risk assessment, approval decisions)
• Compliance Analysts (regulatory validation, audit trails)
• Operations Staff (exception handling, manual processes)
• Credit Risk Team (risk models, portfolio management)
• Treasury Team (funding, liquidity, settlements)
Partner Stakeholders:
• Mortgage Brokers (external origination)
• Title Companies (closing coordination)
• Appraisers (property valuation)
• Credit Bureaus (credit data providers)
Regulator Stakeholders:
• CFPB (Consumer Financial Protection Bureau)
• OCC (Office of Comptroller of Currency)
• State Banking Authorities
• Internal Audit Teams
COMMON EXPECTATIONS IN BANKING/LENDING:
Timing Expectations:
• "within 30 seconds" (customer-facing decisioning)
• "by end-of-day cutoff" (batch processing, regulatory reporting)
• "within 2 business hours" (internal workflows)
• "same-day processing" (operational commitments)
Accuracy Expectations:
• "99.9% accuracy for credit scores"
• "zero tolerance for compliance validation errors"
• "100% audit trail capture"
• "field-level validation pass rate ≥ 99%"
Availability Expectations:
• "99.5% uptime during business hours (8am-6pm ET)"
• "zero downtime during end-of-day processing window"
• "24/7 availability for fraud detection"
Compliance Expectations:
• "95% compliance pass rate for loan applications"
• "all regulatory reports submitted before deadline"
• "audit trail complete for all transactions"
COMMON IMPACTS IN BANKING/LENDING:
Customer Impacts:
• Application delays (missed rate locks, closing delays)
• Decisioning delays (competitive disadvantage)
• User experience degradation (frustration, abandonment)
• Service unavailability (cannot complete transactions)
Financial Impacts:
• Lost origination fees ($2,000-$5,000 per loan)
• Penalty risk (regulatory fines)
• Increased operational costs (manual workarounds)
• Revenue pipeline delays (quarterly targets at risk)
Legal/Risk Impacts:
• CFPB compliance violations
• Fair lending exposure
• Audit findings (internal/external)
• Regulatory escalation required
Operational Impacts:
• Manual processing burden (hours per case)
• Team productivity loss (blocked workflows)
• Exception handling overhead
• SLA breach escalations
---
SECTION 9: HOW TO ASSIST PRODUCT OWNERS
---------------------------------------
YOUR ASSISTANCE APPROACH:
WHEN USER IS WORKING (Don't Overwhelm):
• Provide tactical suggestions based on domain knowledge
• Suggest stakeholders, expectations, impacts based on service type
• Use patterns from Section 8 (banking/lending common patterns)
• Keep explanations concise and action-oriented
• Example: "Based on this being a Credit Check service in Home Lending, typical stakeholders might include Loan Officers (need fast decisions), Compliance Team (need audit trails), and Customers (need timely application progress)"
WHEN USER ASKS "WHY?" (Explain Principles):
• Connect to BOS architecture (Layers 1-5, Semantic Flow)
• Explain which layer/principle this field enables
• Show scale implications (n=1 vs n=5000)
• Example: "Business Purpose is Layer 1 foundation - it enables requirements translation (Layer 2), signal definitions (Layer 3), and ultimately executive dashboards (Layer 5). At 5000 services, missing this context causes complete failure of downstream layers."
SUGGESTION WORKFLOW:
1. Ask clarifying questions about service's business function
2. Propose 2-3 options based on domain knowledge (Section 8)
3. Explain why each option works for BOS
4. Let user choose or customize
5. Validate suggestion connects to Semantic Flow (Stakeholder → Expectation → Impact)
IF USER DRAFT SEEMS TOO TECHNICAL:
1. Acknowledge what they wrote captures (don't dismiss)
2. Suggest business-focused alternative using domain knowledge
3. Explain: "This version will appear on dashboards and in incident communications - business stakeholders will read this"
4. Show the connection: "Technical → Business translation"
IF USER IS STUCK ON IMPACT CATEGORIES:
Walk through each category with specific question:
• Customer: "Who outside your organization is affected when this fails? What can't they do?"
• Financial: "What revenue is at risk? What costs increase? Are there penalties?"
• Legal/Risk: "Are there compliance requirements? Regulatory exposure? Audit concerns?"
• Operational: "Which internal teams are blocked? What manual workarounds are needed?"
QUALITY CHECK BEFORE COMPLETION:
- [ ] Service Name is business-recognizable (not technical jargon)
- [ ] Business Purpose explains why business cares (not just what it does)
- [ ] At least 3 stakeholder expectations documented (most services have 5-8)
- [ ] Expectations are specific and measurable (could become signals with targets)
- [ ] Impact descriptions explain business consequences (not just "it's broken")
- [ ] Multiple impact categories represented (ideally all 4 - drives accountability)
- [ ] Priorities reflect actual business criticality (escalation paths clear)
- [ ] Semantic Flow is complete: Each row has Stakeholder → Expectation → Impact
REMEMBER:
• You have comprehensive BOS principles context (Sections 1-5)
• User needs tactical assistance without theory dump
• Explain principles WHEN ASKED, suggest tactically OTHERWISE
• Connect tactical work to strategic architecture when helpful
• Use domain knowledge (Section 8) for contextually appropriate suggestions
• Your role: Make Product Owner successful at building Layer 1 foundation
==========================================
END COPILOT CONTEXT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39" t="inlineStr">
        <is>
          <t xml:space="preserve">NOTE: Key instructions are now integrated into the Service Entry Form and Stakeholder Expectations tabs. This tab provides complete reference documentation.
---
# BOS Onboarding Workbook v1.0 - Instructions
## Purpose
This workbook captures essential information about your service for the Business Observability System (BOS). The information you provide becomes the foundation for monitoring your service's business health and impact.
**What you'll create:**
- Clear understanding of your service's business value
- Documentation of stakeholder expectations
- Foundation for business observability dashboards and alerts
**What happens with this data:**
Your entries will be imported into BOS and used to generate:
- Service-level dashboards showing business health in real-time
- Stakeholder-focused views of expectations and impacts
- Automated alerts when business expectations are at risk
- Executive rollups showing business health across all services
---
## How to Use This Workbook
### Step 1: Service Metadata Tab
1. Navigate to the "Service Metadata" tab
2. Fill out one row with your service's basic information:
   - **Service Name**: What you call this service (used throughout BOS)
   - **Business Purpose**: What business problem this service solves (focus on value, not technology)
   - **L4 Product Line / L3 Product**: Your service's organizational placement
   - **Product Owner**: Your email address
   - **CMDB Application ID**: Optional - if you know your CMDB ID, include it
### Step 2: Business Context Tab
1. Navigate to the "Business Context" tab
2. Add one row for each stakeholder expectation (typically 3-8 per service)
3. Think through: Who depends on this service? What do they expect?
4. Use the pattern: "As a [stakeholder], I expect [what]. If broken: [impact]"
### Step 3: Save and Share
- Save your work frequently (workbook can be online/SharePoint for collaboration)
- You can complete this over multiple sessions - no need to finish in one sitting
- When complete, share with the BOS team for import
---
## Time Required
**Estimated:** 1-2 hours total
**Can be paused:** Yes! Save your work and return later. The workbook supports:
- Individual completion (Product Owner fills out alone)
- Collaborative completion (share file, work with team members)
- Iterative refinement (start with basics, add detail over time)
---
## Field Guidance Quick Reference
### Service Metadata Tab Fields
**Service Name** - What do you call this service?
- Use business-recognizable names (not technical infrastructure terms)
- This name appears on dashboards, alerts, and reports
- Example: "Credit Check Service" (good) vs "API Gateway Cluster 3" (avoid)
**Business Purpose** - What business problem does this service solve?
- Focus on business value, not technical implementation
- Explain WHY this service exists from a business perspective
- Example: "Enables home loan applicants to receive credit decisions within 30 seconds during business hours to support lending operations"
**L4 Product Line / L3 Product** - Your organizational placement
- Select your service's L4 Product Line (highest level organizational unit)
- Select your L3 Product (specific product within that line)
- If unsure, check with your manager or CMDB records
**Product Owner** - Who owns this service's business outcomes?
- Use email address for traceability
- This person is the authoritative source for business context
- This person validates expectations and business impact definitions
**CMDB Application ID** - Optional connection to existing systems
- If your service has a CMDB Application ID, include it here
- Helps connect BOS to existing configuration management
- Leave blank if unknown - not required for BOS to work
### Business Context Tab Fields
**Stakeholder Type** - Who is this stakeholder?
- Common types: Customer, Internal Team, Partner, Regulator, Executive
- Think: Who would call/complain if this service fails?
**Specific Group** - Which specific group within this stakeholder type?
- Be specific enough to notify the right people during incidents
- Example: "Home Lending Processors", "Credit Risk Team", "Compliance Analysts"
- Test: Can you identify this group's manager or send them an email?
**Expectation Statement** - Complete: "As this stakeholder, I expect..."
- Be specific and measurable
- Include timing, accuracy, or performance expectations
- Examples:
  - "credit checks to complete within 30 seconds during business hours"
  - "accurate credit scores returned for all requests (99.9% accuracy)"
  - "audit trail complete for all transactions with timestamps"
**Impact Description** - What happens if this expectation is not met?
- Explain business consequences (not just "it's broken")
- Who is affected? What business outcome is threatened?
- Examples:
  - "loan applications are delayed, customer experience degraded, risk of losing business to competitors"
  - "risk assessments are inaccurate, potential revenue loss from bad credit decisions"
  - "regulatory findings possible, compliance escalation required"
**Impact Category** - What type of impact?
- **Customer**: Affects end-user experience or ability to achieve goals
- **Financial**: Revenue loss, cost increase, penalties, dollars at risk
- **Legal/Risk**: Compliance violations, regulatory exposure, audit findings
- **Operational**: Internal process failures, team productivity loss, manual workarounds
**Priority** - How critical is this expectation?
- **CRITICAL**: Immediate business impact, executive notification, revenue/compliance at risk
- **HIGH**: Significant impact, same-day response required, stakeholder escalation likely
- **MEDIUM**: Notable impact, address within normal workflow, monitor for escalation
- **LOW**: Minor inconvenience, can be batched with other work, low urgency
---
## Common Patterns: The User Story Format
BOS uses a user story pattern that appears throughout the system:
**Pattern:** "As a [Stakeholder Type: Specific Group], I expect [Expectation Statement]. If broken: [Impact Description] ([Impact Category], [Priority])"
**Example:**
"As a Customer: Home Lending Processors, I expect credit checks to complete within 30 seconds during business hours. If broken: loan applications are delayed, customer experience degraded, risk of losing business to competitors (Customer, CRITICAL)"
**Why this pattern:**
- Connects technical signals to business stakeholders
- Makes business impact explicit
- Drives prioritization based on who is affected
- Appears on dashboards exactly as you write it
---
## Four Impact Categories: Drive Complete Coverage
Try to document expectations across ALL four impact categories:
1. **Customer** - End-user experience and goal achievement
2. **Financial** - Revenue, costs, penalties, P&amp;L impact
3. **Legal/Risk** - Compliance, regulations, audit exposure
4. **Operational** - Internal processes, team productivity, manual burden
**Why this matters:**
- Financial services commonly hit all 4 categories
- Even if "not defined" in some categories, documenting that drives accountability
- Complete coverage ensures executive visibility into all business health dimensions
- Helps prioritize response during incidents (Customer + Financial + Legal = highest priority)
---
## What Happens Next: Your Data Becomes BOS Operational Data
**Production Data Path:**
1. **You complete this workbook** - Capture service metadata and stakeholder expectations
2. **BOS team imports your data** - Direct import to BOS database (no migration pain)
3. **Dashboards generate automatically** - Your expectations become dashboard panels
4. **Alerts configure automatically** - Your priorities drive escalation paths
5. **Business health visible immediately** - Stakeholders see real-time status
**This is not a planning exercise** - This data becomes THE operational system.
**Your words appear verbatim:**
- Service Name: Appears on all dashboards and alerts
- Business Purpose: Appears on service detail pages
- Expectation Statements: Appear on dashboards as-is
- Impact Descriptions: Appear in incident communications
**Write for your audience:**
- Executives will read this during escalations
- Operations teams will use this to understand priorities
- Other Product Owners will reference this for patterns
- Future teams will rely on this when you're not available
---
## Need Help?
**Questions about:**
- BOS concepts or methodology
- How to describe your service's business value
- Which stakeholders to document
- How to measure expectations
**Contact:** BOS team [contact information will be provided]
**Resources:**
- BOS principles documentation
- Example services for reference
- Stakeholder discovery workshops available
---
## Workbook Structure Reference
**Tab 1: Dashboard Mockup** - Preview how your data will appear on BOS dashboards
**Tab 2: Copilot** - AI assistant context (use Microsoft Copilot for help completing this workbook)
**Tab 3: Instructions** - This tab (guidance for Product Owners)
**Tab 4: Service Metadata** - Step 1: Your service's basic information (1 row)
**Tab 5: Business Context** - Step 2: Stakeholder expectations (3-8 rows typically)
---
**Version:** 1.0 (Steps 1-2: Service + Business Context)
**Scope:** This version captures foundational business context. Future versions will extend to signal definitions and technical implementation details.
</t>
        </is>
      </c>
    </row>
    <row r="3">
      <c r="A3" s="2" t="inlineStr">
        <is>
          <t>PURPOSE</t>
        </is>
      </c>
    </row>
    <row r="4">
      <c r="A4" t="inlineStr">
        <is>
          <t>This workbook captures essential information about your service for Business Observability System (BOS).</t>
        </is>
      </c>
    </row>
    <row r="6">
      <c r="A6" s="2" t="inlineStr">
        <is>
          <t>WHAT YOU'LL PROVIDE</t>
        </is>
      </c>
    </row>
    <row r="7">
      <c r="A7" t="inlineStr">
        <is>
          <t>1. Service Metadata - Basic identification and ownership</t>
        </is>
      </c>
    </row>
    <row r="8">
      <c r="A8" t="inlineStr">
        <is>
          <t>2. Business Context - Stakeholder expectations and impacts</t>
        </is>
      </c>
    </row>
    <row r="10">
      <c r="A10" s="2" t="inlineStr">
        <is>
          <t>TIME REQUIRED</t>
        </is>
      </c>
    </row>
    <row r="11">
      <c r="A11" t="inlineStr">
        <is>
          <t>1-2 hours (can be completed in multiple sessions)</t>
        </is>
      </c>
    </row>
    <row r="13">
      <c r="A13" s="2" t="inlineStr">
        <is>
          <t>HOW TO USE THIS WORKBOOK</t>
        </is>
      </c>
    </row>
    <row r="14">
      <c r="A14" t="inlineStr">
        <is>
          <t>1. Start with 'Service Metadata' tab - fill out one row for your service</t>
        </is>
      </c>
    </row>
    <row r="15">
      <c r="A15" t="inlineStr">
        <is>
          <t>2. Move to 'Business Context' tab - add one row per stakeholder expectation</t>
        </is>
      </c>
    </row>
    <row r="16">
      <c r="A16" t="inlineStr">
        <is>
          <t>3. Save and share when complete (file can be online/SharePoint for collaboration)</t>
        </is>
      </c>
    </row>
    <row r="18">
      <c r="A18" s="2" t="inlineStr">
        <is>
          <t>FIELD GUIDANCE</t>
        </is>
      </c>
    </row>
    <row r="19">
      <c r="A19" t="inlineStr">
        <is>
          <t>- Required fields marked with (REQUIRED)</t>
        </is>
      </c>
    </row>
    <row r="20">
      <c r="A20" t="inlineStr">
        <is>
          <t>- Optional fields can be left blank</t>
        </is>
      </c>
    </row>
    <row r="21">
      <c r="A21" t="inlineStr">
        <is>
          <t>- Use business language (not technical jargon)</t>
        </is>
      </c>
    </row>
    <row r="22">
      <c r="A22" t="inlineStr">
        <is>
          <t>- Focus on business value and outcomes</t>
        </is>
      </c>
    </row>
    <row r="24">
      <c r="A24" s="2" t="inlineStr">
        <is>
          <t>QUESTIONS?</t>
        </is>
      </c>
    </row>
    <row r="25">
      <c r="A25" t="inlineStr">
        <is>
          <t>Contact the BOS team for assistance with any fields or concepts.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50" customWidth="1" min="3" max="3"/>
    <col width="25" customWidth="1" min="4" max="4"/>
    <col width="30" customWidth="1" min="5" max="5"/>
    <col width="25" customWidth="1" min="6" max="6"/>
  </cols>
  <sheetData>
    <row r="1" ht="30" customHeight="1">
      <c r="A1" s="5" t="inlineStr">
        <is>
          <t>BOS ONBOARDING - SERVICE METADATA</t>
        </is>
      </c>
    </row>
    <row r="2" ht="10" customHeight="1"/>
    <row r="3" ht="35" customHeight="1">
      <c r="A3" s="43" t="inlineStr">
        <is>
          <t>Step 1: Define Your Service - Complete the fields below. Required fields marked with *</t>
        </is>
      </c>
    </row>
    <row r="4" ht="10" customHeight="1"/>
    <row r="5" ht="25" customHeight="1">
      <c r="A5" s="25" t="inlineStr">
        <is>
          <t>SERVICE INFORMATION</t>
        </is>
      </c>
      <c r="B5" s="27" t="n"/>
      <c r="C5" s="28" t="n"/>
    </row>
    <row r="6" ht="20" customHeight="1">
      <c r="A6" s="26" t="inlineStr">
        <is>
          <t>Field</t>
        </is>
      </c>
      <c r="B6" s="26" t="inlineStr">
        <is>
          <t>Your Answer</t>
        </is>
      </c>
      <c r="C6" s="26" t="inlineStr">
        <is>
          <t>Helper Text</t>
        </is>
      </c>
    </row>
    <row r="7" ht="15" customHeight="1">
      <c r="A7" s="57" t="inlineStr">
        <is>
          <t>L4 Product Line / L3 Product *</t>
        </is>
      </c>
      <c r="B7" s="58" t="inlineStr">
        <is>
          <t>Home Lending → Home Originations</t>
        </is>
      </c>
      <c r="C7" s="57" t="inlineStr">
        <is>
          <t>Required</t>
        </is>
      </c>
    </row>
    <row r="8" ht="25" customHeight="1">
      <c r="A8" s="59" t="inlineStr">
        <is>
          <t>Which product line and product does this service belong to? This helps organize services by business unit.</t>
        </is>
      </c>
    </row>
    <row r="9" ht="60" customHeight="1">
      <c r="A9" s="57" t="inlineStr">
        <is>
          <t>CMDB Application ID *</t>
        </is>
      </c>
      <c r="B9" s="58" t="inlineStr">
        <is>
          <t>CORE_HOME_ORIG</t>
        </is>
      </c>
      <c r="C9" s="57" t="inlineStr">
        <is>
          <t>Required</t>
        </is>
      </c>
    </row>
    <row r="10" ht="25" customHeight="1">
      <c r="A10" s="59" t="inlineStr">
        <is>
          <t>Primary CMDB Application ID for this service (e.g., CORE_HOME_ORIG). Required as of v3.7.</t>
        </is>
      </c>
    </row>
    <row r="11" ht="15" customHeight="1">
      <c r="A11" s="57" t="inlineStr">
        <is>
          <t>Service Name *</t>
        </is>
      </c>
      <c r="B11" s="58" t="inlineStr">
        <is>
          <t>Credit Check Service</t>
        </is>
      </c>
      <c r="C11" s="57" t="inlineStr">
        <is>
          <t>Required</t>
        </is>
      </c>
    </row>
    <row r="12" ht="25" customHeight="1">
      <c r="A12" s="59" t="inlineStr">
        <is>
          <t>What do you call this service? This name will be used throughout BOS dashboards and alerts.</t>
        </is>
      </c>
    </row>
    <row r="13" ht="15" customHeight="1">
      <c r="A13" s="57" t="inlineStr">
        <is>
          <t>Business Purpose *</t>
        </is>
      </c>
      <c r="B13" s="58" t="inlineStr">
        <is>
          <t>Enables home loan applicants to receive credit decisions within 30 seconds during business hours to support lending operations</t>
        </is>
      </c>
      <c r="C13" s="57" t="inlineStr">
        <is>
          <t>Required</t>
        </is>
      </c>
    </row>
    <row r="14" ht="25" customHeight="1">
      <c r="A14" s="59" t="inlineStr">
        <is>
          <t>What business problem does this service solve? Focus on business value, not technical implementation.</t>
        </is>
      </c>
    </row>
    <row r="15" ht="15" customHeight="1">
      <c r="A15" s="57" t="inlineStr">
        <is>
          <t>Product Owner *</t>
        </is>
      </c>
      <c r="B15" s="58" t="inlineStr">
        <is>
          <t>jane.smith@company.com</t>
        </is>
      </c>
      <c r="C15" s="57" t="inlineStr">
        <is>
          <t>Required</t>
        </is>
      </c>
    </row>
    <row r="16" ht="25" customHeight="1">
      <c r="A16" s="59" t="inlineStr">
        <is>
          <t>Who is the product owner? Email address recommended for traceability.</t>
        </is>
      </c>
    </row>
    <row r="17" ht="15" customHeight="1"/>
    <row r="18" ht="25" customHeight="1">
      <c r="A18" s="60" t="inlineStr">
        <is>
          <t>After completing, proceed to 'Stakeholder Expectations' tab to document business context.</t>
        </is>
      </c>
      <c r="B18" s="34" t="n"/>
      <c r="C18" s="11" t="n"/>
    </row>
    <row r="19" ht="15" customHeight="1"/>
    <row r="20" ht="30" customHeight="1"/>
  </sheetData>
  <mergeCells count="10">
    <mergeCell ref="A10:C10"/>
    <mergeCell ref="A1:C1"/>
    <mergeCell ref="A5:C5"/>
    <mergeCell ref="A8:C8"/>
    <mergeCell ref="A14:C14"/>
    <mergeCell ref="A18:C18"/>
    <mergeCell ref="A3:C3"/>
    <mergeCell ref="A12:C12"/>
    <mergeCell ref="A20:C20"/>
    <mergeCell ref="A16:C16"/>
  </mergeCells>
  <dataValidations count="10">
    <dataValidation sqref="A2:A1000" showDropDown="0" showInputMessage="0" showErrorMessage="0" allowBlank="0" errorTitle="Required Field" error="This field is required" promptTitle="Required" prompt="This field must be filled in" type="custom">
      <formula1>LEN(A2)&gt;0</formula1>
    </dataValidation>
    <dataValidation sqref="B2:B1000" showDropDown="0" showInputMessage="0" showErrorMessage="0" allowBlank="0" errorTitle="Required Field" error="This field is required" promptTitle="Required" prompt="This field must be filled in" type="custom">
      <formula1>LEN(B2)&gt;0</formula1>
    </dataValidation>
    <dataValidation sqref="C2:C1000" showDropDown="0" showInputMessage="0" showErrorMessage="0" allowBlank="0" errorTitle="Required Field" error="This field is required" promptTitle="Required" prompt="This field must be filled in" type="custom">
      <formula1>LEN(C2)&gt;0</formula1>
    </dataValidation>
    <dataValidation sqref="D2:D1000" showDropDown="0" showInputMessage="0" showErrorMessage="0" allowBlank="0" errorTitle="Required Field" error="This field is required" promptTitle="Required" prompt="This field must be filled in" type="custom">
      <formula1>LEN(D2)&gt;0</formula1>
    </dataValidation>
    <dataValidation sqref="E2:E1000" showDropDown="0" showInputMessage="0" showErrorMessage="0" allowBlank="0" errorTitle="Required Field" error="This field is required" promptTitle="Required" prompt="This field must be filled in" type="custom">
      <formula1>LEN(E2)&gt;0</formula1>
    </dataValidation>
    <dataValidation sqref="B7" showDropDown="0" showInputMessage="0" showErrorMessage="1" allowBlank="0" errorTitle="Required Field" error="This field is required" type="custom">
      <formula1>LEN(B7)&gt;0</formula1>
    </dataValidation>
    <dataValidation sqref="B9" showDropDown="0" showInputMessage="0" showErrorMessage="1" allowBlank="0" errorTitle="Required Field" error="This field is required" type="custom">
      <formula1>LEN(B9)&gt;0</formula1>
    </dataValidation>
    <dataValidation sqref="B11" showDropDown="0" showInputMessage="0" showErrorMessage="1" allowBlank="0" errorTitle="Required Field" error="This field is required" type="custom">
      <formula1>LEN(B11)&gt;0</formula1>
    </dataValidation>
    <dataValidation sqref="B13" showDropDown="0" showInputMessage="0" showErrorMessage="1" allowBlank="0" errorTitle="Required Field" error="This field is required" type="custom">
      <formula1>LEN(B13)&gt;0</formula1>
    </dataValidation>
    <dataValidation sqref="B15" showDropDown="0" showInputMessage="0" showErrorMessage="1" allowBlank="0" errorTitle="Required Field" error="This field is required" type="custom">
      <formula1>LEN(B15)&gt;0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50" customWidth="1" min="3" max="3"/>
    <col width="60" customWidth="1" min="4" max="4"/>
    <col width="20" customWidth="1" min="5" max="5"/>
    <col width="15" customWidth="1" min="6" max="6"/>
  </cols>
  <sheetData>
    <row r="1" ht="30" customHeight="1">
      <c r="A1" s="23" t="inlineStr">
        <is>
          <t>BOS ONBOARDING - STAKEHOLDER EXPECTATIONS</t>
        </is>
      </c>
    </row>
    <row r="2" ht="10" customHeight="1"/>
    <row r="3" ht="45" customHeight="1">
      <c r="A3" s="24" t="inlineStr">
        <is>
          <t>Step 2: Document Expectations - Add 3-8 expectations (one per section below). Use pattern: "As [who], I expect [what]. If broken: [impact]"</t>
        </is>
      </c>
    </row>
    <row r="4" ht="10" customHeight="1"/>
    <row r="5" ht="25" customHeight="1">
      <c r="A5" s="51" t="inlineStr">
        <is>
          <t>EXPECTATION #1</t>
        </is>
      </c>
      <c r="B5" s="34" t="n"/>
      <c r="C5" s="11" t="n"/>
    </row>
    <row r="6" ht="15" customHeight="1">
      <c r="A6" s="52" t="inlineStr">
        <is>
          <t>Stakeholder *</t>
        </is>
      </c>
      <c r="B6" s="53" t="inlineStr">
        <is>
          <t>Home Lending Processors</t>
        </is>
      </c>
      <c r="C6" s="54" t="inlineStr">
        <is>
          <t>Required</t>
        </is>
      </c>
    </row>
    <row r="7" ht="20" customHeight="1">
      <c r="A7" s="55" t="inlineStr">
        <is>
          <t>Who depends on this service? Describe in your own terms. (e.g., Mortgage Applicants, Credit Risk Team)</t>
        </is>
      </c>
      <c r="B7" s="34" t="n"/>
      <c r="C7" s="11" t="n"/>
    </row>
    <row r="8" ht="45" customHeight="1">
      <c r="A8" s="52" t="inlineStr">
        <is>
          <t>Expectation Statement *</t>
        </is>
      </c>
      <c r="B8" s="56" t="inlineStr">
        <is>
          <t>credit checks to complete within 30 seconds during business hours</t>
        </is>
      </c>
      <c r="C8" s="54" t="inlineStr">
        <is>
          <t>Required</t>
        </is>
      </c>
    </row>
    <row r="9" ht="25" customHeight="1">
      <c r="A9" s="55" t="inlineStr">
        <is>
          <t>Complete: "As this stakeholder, I expect..." Be specific and measurable.</t>
        </is>
      </c>
      <c r="B9" s="34" t="n"/>
      <c r="C9" s="11" t="n"/>
    </row>
    <row r="10" ht="45" customHeight="1">
      <c r="A10" s="52" t="inlineStr">
        <is>
          <t>Impact Description *</t>
        </is>
      </c>
      <c r="B10" s="56" t="inlineStr">
        <is>
          <t>loan applications are delayed, customer experience degraded, risk of losing business to competitors</t>
        </is>
      </c>
      <c r="C10" s="54" t="inlineStr">
        <is>
          <t>Required</t>
        </is>
      </c>
    </row>
    <row r="11" ht="25" customHeight="1">
      <c r="A11" s="55" t="inlineStr">
        <is>
          <t>What happens if this expectation is not met? Explain business consequences.</t>
        </is>
      </c>
      <c r="B11" s="34" t="n"/>
      <c r="C11" s="11" t="n"/>
    </row>
    <row r="12" ht="50" customHeight="1">
      <c r="A12" s="52" t="inlineStr">
        <is>
          <t>Impact Category *</t>
        </is>
      </c>
      <c r="B12" s="53" t="inlineStr">
        <is>
          <t>Customer</t>
        </is>
      </c>
      <c r="C12" s="54" t="inlineStr">
        <is>
          <t>Required</t>
        </is>
      </c>
    </row>
    <row r="13" ht="25" customHeight="1">
      <c r="A13" s="52" t="inlineStr">
        <is>
          <t>Priority *</t>
        </is>
      </c>
      <c r="B13" s="53" t="inlineStr">
        <is>
          <t>CRITICAL</t>
        </is>
      </c>
      <c r="C13" s="54" t="inlineStr">
        <is>
          <t>Required</t>
        </is>
      </c>
    </row>
    <row r="14" ht="15" customHeight="1">
      <c r="A14" s="54" t="n"/>
      <c r="B14" s="54" t="n"/>
      <c r="C14" s="54" t="n"/>
    </row>
    <row r="15" ht="25" customHeight="1">
      <c r="A15" s="51" t="inlineStr">
        <is>
          <t>EXPECTATION #2</t>
        </is>
      </c>
      <c r="B15" s="34" t="n"/>
      <c r="C15" s="11" t="n"/>
    </row>
    <row r="16" ht="20" customHeight="1">
      <c r="A16" s="52" t="inlineStr">
        <is>
          <t>Stakeholder *</t>
        </is>
      </c>
      <c r="B16" s="53" t="inlineStr">
        <is>
          <t>Credit Risk Team</t>
        </is>
      </c>
      <c r="C16" s="54" t="inlineStr">
        <is>
          <t>Required</t>
        </is>
      </c>
    </row>
    <row r="17" ht="25" customHeight="1">
      <c r="A17" s="55" t="inlineStr">
        <is>
          <t>Who depends on this service? Describe in your own terms. (e.g., Mortgage Applicants, Credit Risk Team)</t>
        </is>
      </c>
      <c r="B17" s="34" t="n"/>
      <c r="C17" s="11" t="n"/>
    </row>
    <row r="18" ht="45" customHeight="1">
      <c r="A18" s="52" t="inlineStr">
        <is>
          <t>Expectation Statement *</t>
        </is>
      </c>
      <c r="B18" s="56" t="inlineStr">
        <is>
          <t>accurate credit scores returned for all requests (99.9% accuracy)</t>
        </is>
      </c>
      <c r="C18" s="54" t="inlineStr">
        <is>
          <t>Required</t>
        </is>
      </c>
    </row>
    <row r="19" ht="20" customHeight="1">
      <c r="A19" s="55" t="inlineStr">
        <is>
          <t>Complete: "As this stakeholder, I expect..." Be specific and measurable.</t>
        </is>
      </c>
      <c r="B19" s="34" t="n"/>
      <c r="C19" s="11" t="n"/>
    </row>
    <row r="20" ht="45" customHeight="1">
      <c r="A20" s="52" t="inlineStr">
        <is>
          <t>Impact Description *</t>
        </is>
      </c>
      <c r="B20" s="56" t="inlineStr">
        <is>
          <t>risk assessments are inaccurate, potential revenue loss from bad credit decisions, portfolio risk exposure</t>
        </is>
      </c>
      <c r="C20" s="54" t="inlineStr">
        <is>
          <t>Required</t>
        </is>
      </c>
    </row>
    <row r="21" ht="25" customHeight="1">
      <c r="A21" s="55" t="inlineStr">
        <is>
          <t>What happens if this expectation is not met? Explain business consequences.</t>
        </is>
      </c>
      <c r="B21" s="34" t="n"/>
      <c r="C21" s="11" t="n"/>
    </row>
    <row r="22" ht="50" customHeight="1">
      <c r="A22" s="52" t="inlineStr">
        <is>
          <t>Impact Category *</t>
        </is>
      </c>
      <c r="B22" s="53" t="inlineStr">
        <is>
          <t>Financial</t>
        </is>
      </c>
      <c r="C22" s="54" t="inlineStr">
        <is>
          <t>Required</t>
        </is>
      </c>
    </row>
    <row r="23" ht="25" customHeight="1">
      <c r="A23" s="52" t="inlineStr">
        <is>
          <t>Priority *</t>
        </is>
      </c>
      <c r="B23" s="53" t="inlineStr">
        <is>
          <t>HIGH</t>
        </is>
      </c>
      <c r="C23" s="54" t="inlineStr">
        <is>
          <t>Required</t>
        </is>
      </c>
    </row>
    <row r="24" ht="15" customHeight="1">
      <c r="A24" s="54" t="n"/>
      <c r="B24" s="54" t="n"/>
      <c r="C24" s="54" t="n"/>
    </row>
    <row r="25" ht="25" customHeight="1">
      <c r="A25" s="51" t="inlineStr">
        <is>
          <t>EXPECTATION #3</t>
        </is>
      </c>
      <c r="B25" s="34" t="n"/>
      <c r="C25" s="11" t="n"/>
    </row>
    <row r="26" ht="15" customHeight="1">
      <c r="A26" s="52" t="inlineStr">
        <is>
          <t>Stakeholder *</t>
        </is>
      </c>
      <c r="B26" s="53" t="inlineStr">
        <is>
          <t>Compliance Team</t>
        </is>
      </c>
      <c r="C26" s="54" t="inlineStr">
        <is>
          <t>Required</t>
        </is>
      </c>
    </row>
    <row r="27" ht="15" customHeight="1">
      <c r="A27" s="55" t="inlineStr">
        <is>
          <t>Who depends on this service? Describe in your own terms. (e.g., Mortgage Applicants, Credit Risk Team)</t>
        </is>
      </c>
      <c r="B27" s="34" t="n"/>
      <c r="C27" s="11" t="n"/>
    </row>
    <row r="28" ht="45" customHeight="1">
      <c r="A28" s="52" t="inlineStr">
        <is>
          <t>Expectation Statement *</t>
        </is>
      </c>
      <c r="B28" s="56" t="inlineStr">
        <is>
          <t>audit trail complete for all transactions with timestamps and decision rationale</t>
        </is>
      </c>
      <c r="C28" s="54" t="inlineStr">
        <is>
          <t>Required</t>
        </is>
      </c>
    </row>
    <row r="29" ht="25" customHeight="1">
      <c r="A29" s="55" t="inlineStr">
        <is>
          <t>Complete: "As this stakeholder, I expect..." Be specific and measurable.</t>
        </is>
      </c>
      <c r="B29" s="34" t="n"/>
      <c r="C29" s="11" t="n"/>
    </row>
    <row r="30" ht="45" customHeight="1">
      <c r="A30" s="52" t="inlineStr">
        <is>
          <t>Impact Description *</t>
        </is>
      </c>
      <c r="B30" s="56" t="inlineStr">
        <is>
          <t>regulatory findings possible, compliance escalation required, potential CFPB violations</t>
        </is>
      </c>
      <c r="C30" s="54" t="inlineStr">
        <is>
          <t>Required</t>
        </is>
      </c>
    </row>
    <row r="31" ht="20" customHeight="1">
      <c r="A31" s="55" t="inlineStr">
        <is>
          <t>What happens if this expectation is not met? Explain business consequences.</t>
        </is>
      </c>
      <c r="B31" s="34" t="n"/>
      <c r="C31" s="11" t="n"/>
    </row>
    <row r="32" ht="15" customHeight="1">
      <c r="A32" s="52" t="inlineStr">
        <is>
          <t>Impact Category *</t>
        </is>
      </c>
      <c r="B32" s="53" t="inlineStr">
        <is>
          <t>Legal/Risk</t>
        </is>
      </c>
      <c r="C32" s="54" t="inlineStr">
        <is>
          <t>Required</t>
        </is>
      </c>
    </row>
    <row r="33" ht="25" customHeight="1">
      <c r="A33" s="52" t="inlineStr">
        <is>
          <t>Priority *</t>
        </is>
      </c>
      <c r="B33" s="53" t="inlineStr">
        <is>
          <t>CRITICAL</t>
        </is>
      </c>
      <c r="C33" s="54" t="inlineStr">
        <is>
          <t>Required</t>
        </is>
      </c>
    </row>
    <row r="34" ht="15" customHeight="1">
      <c r="A34" s="54" t="n"/>
      <c r="B34" s="54" t="n"/>
      <c r="C34" s="54" t="n"/>
    </row>
    <row r="35" ht="25" customHeight="1">
      <c r="A35" s="51" t="inlineStr">
        <is>
          <t>EXPECTATION #4</t>
        </is>
      </c>
      <c r="B35" s="34" t="n"/>
      <c r="C35" s="11" t="n"/>
    </row>
    <row r="36" ht="50" customHeight="1">
      <c r="A36" s="52" t="inlineStr">
        <is>
          <t>Stakeholder *</t>
        </is>
      </c>
      <c r="B36" s="53" t="inlineStr">
        <is>
          <t>Operations Staff</t>
        </is>
      </c>
      <c r="C36" s="54" t="inlineStr">
        <is>
          <t>Required</t>
        </is>
      </c>
    </row>
    <row r="37" ht="25" customHeight="1">
      <c r="A37" s="55" t="inlineStr">
        <is>
          <t>Who depends on this service? Describe in your own terms. (e.g., Mortgage Applicants, Credit Risk Team)</t>
        </is>
      </c>
      <c r="B37" s="34" t="n"/>
      <c r="C37" s="11" t="n"/>
    </row>
    <row r="38" ht="45" customHeight="1">
      <c r="A38" s="52" t="inlineStr">
        <is>
          <t>Expectation Statement *</t>
        </is>
      </c>
      <c r="B38" s="56" t="inlineStr">
        <is>
          <t>exception handling workload remains manageable (&lt; 5% manual intervention rate)</t>
        </is>
      </c>
      <c r="C38" s="54" t="inlineStr">
        <is>
          <t>Required</t>
        </is>
      </c>
    </row>
    <row r="39" ht="15" customHeight="1">
      <c r="A39" s="55" t="inlineStr">
        <is>
          <t>Complete: "As this stakeholder, I expect..." Be specific and measurable.</t>
        </is>
      </c>
      <c r="B39" s="34" t="n"/>
      <c r="C39" s="11" t="n"/>
    </row>
    <row r="40" ht="45" customHeight="1">
      <c r="A40" s="52" t="inlineStr">
        <is>
          <t>Impact Description *</t>
        </is>
      </c>
      <c r="B40" s="56" t="inlineStr">
        <is>
          <t>team productivity loss, manual processing burden increases, overtime costs escalate</t>
        </is>
      </c>
      <c r="C40" s="54" t="inlineStr">
        <is>
          <t>Required</t>
        </is>
      </c>
    </row>
    <row r="41" ht="25" customHeight="1">
      <c r="A41" s="55" t="inlineStr">
        <is>
          <t>What happens if this expectation is not met? Explain business consequences.</t>
        </is>
      </c>
      <c r="B41" s="34" t="n"/>
      <c r="C41" s="11" t="n"/>
    </row>
    <row r="42" ht="15" customHeight="1">
      <c r="A42" s="52" t="inlineStr">
        <is>
          <t>Impact Category *</t>
        </is>
      </c>
      <c r="B42" s="53" t="inlineStr">
        <is>
          <t>Operational</t>
        </is>
      </c>
      <c r="C42" s="54" t="inlineStr">
        <is>
          <t>Required</t>
        </is>
      </c>
    </row>
    <row r="43" ht="20" customHeight="1">
      <c r="A43" s="52" t="inlineStr">
        <is>
          <t>Priority *</t>
        </is>
      </c>
      <c r="B43" s="53" t="inlineStr">
        <is>
          <t>MEDIUM</t>
        </is>
      </c>
      <c r="C43" s="54" t="inlineStr">
        <is>
          <t>Required</t>
        </is>
      </c>
    </row>
    <row r="44" ht="15" customHeight="1">
      <c r="A44" s="54" t="n"/>
      <c r="B44" s="54" t="n"/>
      <c r="C44" s="54" t="n"/>
    </row>
    <row r="45" ht="25" customHeight="1">
      <c r="A45" s="54" t="n"/>
      <c r="B45" s="54" t="n"/>
      <c r="C45" s="54" t="n"/>
    </row>
    <row r="46" ht="50" customHeight="1">
      <c r="A46" s="54" t="n"/>
      <c r="B46" s="54" t="n"/>
      <c r="C46" s="54" t="n"/>
    </row>
    <row r="47" ht="25" customHeight="1">
      <c r="A47" s="54" t="n"/>
      <c r="B47" s="54" t="n"/>
      <c r="C47" s="54" t="n"/>
    </row>
    <row r="48" ht="50" customHeight="1">
      <c r="A48" s="54" t="n"/>
      <c r="B48" s="54" t="n"/>
      <c r="C48" s="54" t="n"/>
    </row>
    <row r="49" ht="25" customHeight="1">
      <c r="A49" s="54" t="n"/>
      <c r="B49" s="54" t="n"/>
      <c r="C49" s="54" t="n"/>
    </row>
    <row r="50" ht="15" customHeight="1">
      <c r="A50" s="54" t="n"/>
      <c r="B50" s="54" t="n"/>
      <c r="C50" s="54" t="n"/>
    </row>
    <row r="51" ht="15" customHeight="1">
      <c r="A51" s="54" t="n"/>
      <c r="B51" s="54" t="n"/>
      <c r="C51" s="54" t="n"/>
    </row>
    <row r="52" ht="20" customHeight="1">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sheetData>
  <mergeCells count="18">
    <mergeCell ref="A25:C25"/>
    <mergeCell ref="A41:C41"/>
    <mergeCell ref="A19:C19"/>
    <mergeCell ref="A11:C11"/>
    <mergeCell ref="A5:C5"/>
    <mergeCell ref="A37:C37"/>
    <mergeCell ref="A1:C1"/>
    <mergeCell ref="A31:C31"/>
    <mergeCell ref="A17:C17"/>
    <mergeCell ref="A9:C9"/>
    <mergeCell ref="A27:C27"/>
    <mergeCell ref="A3:C3"/>
    <mergeCell ref="A21:C21"/>
    <mergeCell ref="A39:C39"/>
    <mergeCell ref="A35:C35"/>
    <mergeCell ref="A7:C7"/>
    <mergeCell ref="A29:C29"/>
    <mergeCell ref="A15:C15"/>
  </mergeCells>
  <dataValidations count="32">
    <dataValidation sqref="E2:E1000" showDropDown="0" showInputMessage="0" showErrorMessage="0" allowBlank="0" error="Please select from: Customer, Financial, Legal/Risk, Operational" type="list">
      <formula1>"Customer,Financial,Legal/Risk,Operational"</formula1>
    </dataValidation>
    <dataValidation sqref="F2:F1000" showDropDown="0" showInputMessage="0" showErrorMessage="0" allowBlank="0" error="Please select from: CRITICAL, HIGH, MEDIUM, LOW" type="list">
      <formula1>"CRITICAL,HIGH,MEDIUM,LOW"</formula1>
    </dataValidation>
    <dataValidation sqref="A2:A1000" showDropDown="0" showInputMessage="0" showErrorMessage="0" allowBlank="0" errorTitle="Invalid Stakeholder Type" error="Please select from the list" promptTitle="Stakeholder Type" prompt="Select stakeholder type" type="list">
      <formula1>"Customer,Internal Team,Partner,Regulator,Executive"</formula1>
    </dataValidation>
    <dataValidation sqref="E2:E1000" showDropDown="0" showInputMessage="0" showErrorMessage="0" allowBlank="0" errorTitle="Invalid Impact Category" error="Please select from the list" promptTitle="Impact Category" prompt="Select impact category" type="list">
      <formula1>"Customer,Financial,Legal/Risk,Operational"</formula1>
    </dataValidation>
    <dataValidation sqref="F2:F1000" showDropDown="0" showInputMessage="0" showErrorMessage="0" allowBlank="0" errorTitle="Invalid Priority" error="Please select from the list" promptTitle="Priority" prompt="Select priority level" type="list">
      <formula1>"CRITICAL,HIGH,MEDIUM,LOW"</formula1>
    </dataValidation>
    <dataValidation sqref="B2:B1000" showDropDown="0" showInputMessage="0" showErrorMessage="0" allowBlank="0" errorTitle="Required Field" error="This field is required" promptTitle="Required" prompt="This field must be filled in" type="custom">
      <formula1>LEN(B2)&gt;0</formula1>
    </dataValidation>
    <dataValidation sqref="C2:C1000" showDropDown="0" showInputMessage="0" showErrorMessage="0" allowBlank="0" errorTitle="Required Field" error="This field is required" promptTitle="Required" prompt="This field must be filled in" type="custom">
      <formula1>LEN(C2)&gt;0</formula1>
    </dataValidation>
    <dataValidation sqref="D2:D1000" showDropDown="0" showInputMessage="0" showErrorMessage="0" allowBlank="0" errorTitle="Required Field" error="This field is required" promptTitle="Required" prompt="This field must be filled in" type="custom">
      <formula1>LEN(D2)&gt;0</formula1>
    </dataValidation>
    <dataValidation sqref="B6" showDropDown="0" showInputMessage="0" showErrorMessage="0" allowBlank="0" errorTitle="Invalid Value" error="Please select from dropdown" type="list">
      <formula1>"Customer,Internal Team,Partner,Regulator,Executive"</formula1>
    </dataValidation>
    <dataValidation sqref="B8" showDropDown="0" showInputMessage="0" showErrorMessage="0" allowBlank="0" errorTitle="Required Field" error="This field is required" type="custom">
      <formula1>LEN(B8)&gt;0</formula1>
    </dataValidation>
    <dataValidation sqref="B10" showDropDown="0" showInputMessage="0" showErrorMessage="0" allowBlank="0" errorTitle="Required Field" error="This field is required" type="custom">
      <formula1>LEN(B10)&gt;0</formula1>
    </dataValidation>
    <dataValidation sqref="B12" showDropDown="0" showInputMessage="0" showErrorMessage="0" allowBlank="0" errorTitle="Required Field" error="This field is required" type="custom">
      <formula1>LEN(B12)&gt;0</formula1>
    </dataValidation>
    <dataValidation sqref="B14" showDropDown="0" showInputMessage="0" showErrorMessage="0" allowBlank="0" errorTitle="Invalid Value" error="Please select from dropdown" type="list">
      <formula1>"Customer,Financial,Legal/Risk,Operational"</formula1>
    </dataValidation>
    <dataValidation sqref="B15" showDropDown="0" showInputMessage="0" showErrorMessage="0" allowBlank="0" errorTitle="Invalid Value" error="Please select from dropdown" type="list">
      <formula1>"CRITICAL,HIGH,MEDIUM,LOW"</formula1>
    </dataValidation>
    <dataValidation sqref="B18" showDropDown="0" showInputMessage="0" showErrorMessage="0" allowBlank="0" errorTitle="Invalid Value" error="Please select from dropdown" type="list">
      <formula1>"Customer,Internal Team,Partner,Regulator,Executive"</formula1>
    </dataValidation>
    <dataValidation sqref="B20" showDropDown="0" showInputMessage="0" showErrorMessage="0" allowBlank="0" errorTitle="Required Field" error="This field is required" type="custom">
      <formula1>LEN(B20)&gt;0</formula1>
    </dataValidation>
    <dataValidation sqref="B22" showDropDown="0" showInputMessage="0" showErrorMessage="0" allowBlank="0" errorTitle="Required Field" error="This field is required" type="custom">
      <formula1>LEN(B22)&gt;0</formula1>
    </dataValidation>
    <dataValidation sqref="B24" showDropDown="0" showInputMessage="0" showErrorMessage="0" allowBlank="0" errorTitle="Required Field" error="This field is required" type="custom">
      <formula1>LEN(B24)&gt;0</formula1>
    </dataValidation>
    <dataValidation sqref="B26" showDropDown="0" showInputMessage="0" showErrorMessage="0" allowBlank="0" errorTitle="Invalid Value" error="Please select from dropdown" type="list">
      <formula1>"Customer,Financial,Legal/Risk,Operational"</formula1>
    </dataValidation>
    <dataValidation sqref="B27" showDropDown="0" showInputMessage="0" showErrorMessage="0" allowBlank="0" errorTitle="Invalid Value" error="Please select from dropdown" type="list">
      <formula1>"CRITICAL,HIGH,MEDIUM,LOW"</formula1>
    </dataValidation>
    <dataValidation sqref="B30" showDropDown="0" showInputMessage="0" showErrorMessage="0" allowBlank="0" errorTitle="Invalid Value" error="Please select from dropdown" type="list">
      <formula1>"Customer,Internal Team,Partner,Regulator,Executive"</formula1>
    </dataValidation>
    <dataValidation sqref="B32" showDropDown="0" showInputMessage="0" showErrorMessage="0" allowBlank="0" errorTitle="Required Field" error="This field is required" type="custom">
      <formula1>LEN(B32)&gt;0</formula1>
    </dataValidation>
    <dataValidation sqref="B34" showDropDown="0" showInputMessage="0" showErrorMessage="0" allowBlank="0" errorTitle="Required Field" error="This field is required" type="custom">
      <formula1>LEN(B34)&gt;0</formula1>
    </dataValidation>
    <dataValidation sqref="B36" showDropDown="0" showInputMessage="0" showErrorMessage="0" allowBlank="0" errorTitle="Required Field" error="This field is required" type="custom">
      <formula1>LEN(B36)&gt;0</formula1>
    </dataValidation>
    <dataValidation sqref="B38" showDropDown="0" showInputMessage="0" showErrorMessage="0" allowBlank="0" errorTitle="Invalid Value" error="Please select from dropdown" type="list">
      <formula1>"Customer,Financial,Legal/Risk,Operational"</formula1>
    </dataValidation>
    <dataValidation sqref="B39" showDropDown="0" showInputMessage="0" showErrorMessage="0" allowBlank="0" errorTitle="Invalid Value" error="Please select from dropdown" type="list">
      <formula1>"CRITICAL,HIGH,MEDIUM,LOW"</formula1>
    </dataValidation>
    <dataValidation sqref="B42" showDropDown="0" showInputMessage="0" showErrorMessage="0" allowBlank="0" errorTitle="Invalid Value" error="Please select from dropdown" type="list">
      <formula1>"Customer,Internal Team,Partner,Regulator,Executive"</formula1>
    </dataValidation>
    <dataValidation sqref="B44" showDropDown="0" showInputMessage="0" showErrorMessage="0" allowBlank="0" errorTitle="Required Field" error="This field is required" type="custom">
      <formula1>LEN(B44)&gt;0</formula1>
    </dataValidation>
    <dataValidation sqref="B46" showDropDown="0" showInputMessage="0" showErrorMessage="0" allowBlank="0" errorTitle="Required Field" error="This field is required" type="custom">
      <formula1>LEN(B46)&gt;0</formula1>
    </dataValidation>
    <dataValidation sqref="B48" showDropDown="0" showInputMessage="0" showErrorMessage="0" allowBlank="0" errorTitle="Required Field" error="This field is required" type="custom">
      <formula1>LEN(B48)&gt;0</formula1>
    </dataValidation>
    <dataValidation sqref="B50" showDropDown="0" showInputMessage="0" showErrorMessage="0" allowBlank="0" errorTitle="Invalid Value" error="Please select from dropdown" type="list">
      <formula1>"Customer,Financial,Legal/Risk,Operational"</formula1>
    </dataValidation>
    <dataValidation sqref="B51" showDropDown="0" showInputMessage="0" showErrorMessage="0" allowBlank="0" errorTitle="Invalid Value" error="Please select from dropdown"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2025-11-18T12:16:34Z</dcterms:created>
  <dcterms:modified xsi:type="dcterms:W3CDTF">2025-11-24T20:09:16Z</dcterms:modified>
</cp:coreProperties>
</file>